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untry Analysis" sheetId="2" state="visible" r:id="rId2"/>
    <sheet xmlns:r="http://schemas.openxmlformats.org/officeDocument/2006/relationships" name="Monthly Trend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4472C4"/>
      <sz val="20"/>
    </font>
    <font>
      <name val="Arial"/>
      <color rgb="00777777"/>
      <sz val="8"/>
    </font>
    <font>
      <name val="Arial"/>
      <b val="1"/>
      <color rgb="00E8653A"/>
      <sz val="20"/>
    </font>
    <font>
      <name val="Arial"/>
      <b val="1"/>
      <color rgb="00C0392B"/>
      <sz val="20"/>
    </font>
    <font>
      <name val="Arial"/>
      <b val="1"/>
      <color rgb="007B3FA0"/>
      <sz val="20"/>
    </font>
    <font>
      <name val="Arial"/>
      <b val="1"/>
      <color rgb="0027AE60"/>
      <sz val="2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404040"/>
      </patternFill>
    </fill>
    <fill>
      <patternFill patternType="solid">
        <fgColor rgb="00E8653A"/>
      </patternFill>
    </fill>
    <fill>
      <patternFill patternType="solid">
        <fgColor rgb="004472C4"/>
      </patternFill>
    </fill>
    <fill>
      <patternFill patternType="solid">
        <fgColor rgb="00F5F5F5"/>
      </patternFill>
    </fill>
    <fill>
      <patternFill patternType="solid">
        <fgColor rgb="00C0392B"/>
      </patternFill>
    </fill>
    <fill>
      <patternFill patternType="solid">
        <fgColor rgb="007B3FA0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by Country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 Analysis'!D2</f>
            </strRef>
          </tx>
          <spPr>
            <a:solidFill xmlns:a="http://schemas.openxmlformats.org/drawingml/2006/main">
              <a:srgbClr val="E8653A"/>
            </a:solidFill>
            <a:ln xmlns:a="http://schemas.openxmlformats.org/drawingml/2006/main">
              <a:prstDash val="solid"/>
            </a:ln>
          </spPr>
          <cat>
            <numRef>
              <f>'Country Analysis'!$A$3:$A$17</f>
            </numRef>
          </cat>
          <val>
            <numRef>
              <f>'Country Analysis'!$D$3:$D$17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Rate Trend by Month (%)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 Report'!C3</f>
            </strRef>
          </tx>
          <spPr>
            <a:ln xmlns:a="http://schemas.openxmlformats.org/drawingml/2006/main" w="25000">
              <a:solidFill>
                <a:srgbClr val="E865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 Report'!$A$4:$A$9</f>
            </numRef>
          </cat>
          <val>
            <numRef>
              <f>'Monthly Trend Report'!$C$4:$C$9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Treatment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 ht="40" customHeight="1">
      <c r="A1" s="1" t="inlineStr">
        <is>
          <t>MENTAL HEALTH IN THE WORKPLACE — MIS REPORT</t>
        </is>
      </c>
    </row>
    <row r="2" ht="22" customHeight="1">
      <c r="A2" s="2" t="inlineStr">
        <is>
          <t>OSMI Mental Health in Tech Survey  |  Source: Kaggle  |  1,259 Respondents  |  Prepared by: Darain</t>
        </is>
      </c>
    </row>
    <row r="3" ht="26" customHeight="1">
      <c r="A3" s="3" t="inlineStr">
        <is>
          <t>KEY PERFORMANCE INDICATORS</t>
        </is>
      </c>
    </row>
    <row r="4" ht="34" customHeight="1">
      <c r="A4" s="4" t="inlineStr">
        <is>
          <t>Total
Respondents</t>
        </is>
      </c>
      <c r="B4" s="5" t="inlineStr">
        <is>
          <t>Sought
Treatment</t>
        </is>
      </c>
      <c r="C4" s="6" t="inlineStr">
        <is>
          <t>High Risk
Employees</t>
        </is>
      </c>
      <c r="D4" s="7" t="inlineStr">
        <is>
          <t>Often Work
Interfered</t>
        </is>
      </c>
      <c r="E4" s="6" t="inlineStr">
        <is>
          <t>Zero Employer
Support</t>
        </is>
      </c>
      <c r="F4" s="4" t="inlineStr">
        <is>
          <t>Remote
Workers</t>
        </is>
      </c>
      <c r="G4" s="5" t="inlineStr">
        <is>
          <t>Family History
Treatment Rate</t>
        </is>
      </c>
      <c r="H4" s="8" t="inlineStr">
        <is>
          <t>Avg Employer
Support Score</t>
        </is>
      </c>
    </row>
    <row r="5" ht="40" customHeight="1">
      <c r="A5" s="9" t="n">
        <v>1259</v>
      </c>
      <c r="B5" s="10" t="inlineStr">
        <is>
          <t>637</t>
        </is>
      </c>
      <c r="C5" s="11" t="n">
        <v>92</v>
      </c>
      <c r="D5" s="12" t="inlineStr">
        <is>
          <t>11.4%</t>
        </is>
      </c>
      <c r="E5" s="11" t="n">
        <v>714</v>
      </c>
      <c r="F5" s="9" t="inlineStr">
        <is>
          <t>29.9%</t>
        </is>
      </c>
      <c r="G5" s="10" t="inlineStr">
        <is>
          <t>74.2%</t>
        </is>
      </c>
      <c r="H5" s="13" t="inlineStr">
        <is>
          <t>0.76</t>
        </is>
      </c>
    </row>
    <row r="6" ht="20" customHeight="1">
      <c r="A6" s="14" t="inlineStr">
        <is>
          <t>Survey participants</t>
        </is>
      </c>
      <c r="B6" s="14" t="inlineStr">
        <is>
          <t>50.6% of total</t>
        </is>
      </c>
      <c r="C6" s="14" t="inlineStr">
        <is>
          <t>No help, often interfered</t>
        </is>
      </c>
      <c r="D6" s="14" t="inlineStr">
        <is>
          <t>Frequent interference</t>
        </is>
      </c>
      <c r="E6" s="14" t="inlineStr">
        <is>
          <t>No benefits/wellness/help</t>
        </is>
      </c>
      <c r="F6" s="14" t="inlineStr">
        <is>
          <t>Work remotely</t>
        </is>
      </c>
      <c r="G6" s="14" t="inlineStr">
        <is>
          <t>With family history</t>
        </is>
      </c>
      <c r="H6" s="14" t="inlineStr">
        <is>
          <t>Out of 3.0</t>
        </is>
      </c>
    </row>
    <row r="7" ht="12" customHeight="1"/>
    <row r="8" ht="26" customHeight="1">
      <c r="A8" s="15" t="inlineStr">
        <is>
          <t>KEY INSIGHTS</t>
        </is>
      </c>
    </row>
    <row r="9" ht="20" customHeight="1">
      <c r="A9" s="16" t="inlineStr">
        <is>
          <t>#</t>
        </is>
      </c>
      <c r="B9" s="16" t="inlineStr">
        <is>
          <t>Category</t>
        </is>
      </c>
      <c r="C9" s="16" t="inlineStr">
        <is>
          <t>Insight</t>
        </is>
      </c>
    </row>
    <row r="10" ht="20" customHeight="1">
      <c r="A10" s="17" t="inlineStr">
        <is>
          <t>1</t>
        </is>
      </c>
      <c r="B10" s="18" t="inlineStr">
        <is>
          <t>Treatment Seeking</t>
        </is>
      </c>
      <c r="C10" s="19" t="inlineStr">
        <is>
          <t>50.6% of tech employees sought mental health treatment — above industry average of 40%.</t>
        </is>
      </c>
    </row>
    <row r="11" ht="20" customHeight="1">
      <c r="A11" s="20" t="inlineStr">
        <is>
          <t>2</t>
        </is>
      </c>
      <c r="B11" s="21" t="inlineStr">
        <is>
          <t>High Risk Profile</t>
        </is>
      </c>
      <c r="C11" s="22" t="inlineStr">
        <is>
          <t>92 employees show all 3 high-risk signals: no treatment, frequent interference, zero employer support.</t>
        </is>
      </c>
    </row>
    <row r="12" ht="20" customHeight="1">
      <c r="A12" s="17" t="inlineStr">
        <is>
          <t>3</t>
        </is>
      </c>
      <c r="B12" s="18" t="inlineStr">
        <is>
          <t>Support Gap</t>
        </is>
      </c>
      <c r="C12" s="19" t="inlineStr">
        <is>
          <t>714 respondents (56.7%) work for employers offering zero mental health support.</t>
        </is>
      </c>
    </row>
    <row r="13" ht="20" customHeight="1">
      <c r="A13" s="20" t="inlineStr">
        <is>
          <t>4</t>
        </is>
      </c>
      <c r="B13" s="21" t="inlineStr">
        <is>
          <t>Family History Impact</t>
        </is>
      </c>
      <c r="C13" s="22" t="inlineStr">
        <is>
          <t>Employees with family history of mental illness seek treatment at 74.2% — highest of any group.</t>
        </is>
      </c>
    </row>
    <row r="14" ht="20" customHeight="1">
      <c r="A14" s="17" t="inlineStr">
        <is>
          <t>5</t>
        </is>
      </c>
      <c r="B14" s="18" t="inlineStr">
        <is>
          <t>Remote Work Neutral</t>
        </is>
      </c>
      <c r="C14" s="19" t="inlineStr">
        <is>
          <t>Remote workers show similar interference rates to office workers — location alone is not the key driver.</t>
        </is>
      </c>
    </row>
    <row r="16" ht="12" customHeight="1"/>
    <row r="17" ht="26" customHeight="1">
      <c r="A17" s="23" t="inlineStr">
        <is>
          <t>WORK INTERFERENCE BY EMPLOYER SUPPORT LEVEL</t>
        </is>
      </c>
    </row>
    <row r="18" ht="22" customHeight="1">
      <c r="A18" s="24" t="inlineStr">
        <is>
          <t>Employer Support</t>
        </is>
      </c>
      <c r="B18" s="24" t="inlineStr">
        <is>
          <t>Respondents</t>
        </is>
      </c>
      <c r="C18" s="24" t="inlineStr">
        <is>
          <t>Often Interfered</t>
        </is>
      </c>
      <c r="D18" s="24" t="inlineStr">
        <is>
          <t>% Often</t>
        </is>
      </c>
      <c r="E18" s="24" t="inlineStr">
        <is>
          <t>Sought Treatment</t>
        </is>
      </c>
      <c r="F18" s="24" t="inlineStr">
        <is>
          <t>Treatment Rate</t>
        </is>
      </c>
      <c r="G18" s="24" t="inlineStr">
        <is>
          <t>High Risk Count</t>
        </is>
      </c>
      <c r="H18" s="24" t="inlineStr">
        <is>
          <t>High Risk Rate</t>
        </is>
      </c>
    </row>
    <row r="19" ht="20" customHeight="1">
      <c r="A19" s="25" t="inlineStr">
        <is>
          <t>No Support</t>
        </is>
      </c>
      <c r="B19" s="17" t="n">
        <v>714</v>
      </c>
      <c r="C19" s="17" t="n">
        <v>76</v>
      </c>
      <c r="D19" s="17" t="inlineStr">
        <is>
          <t>10.6%</t>
        </is>
      </c>
      <c r="E19" s="17" t="n">
        <v>293</v>
      </c>
      <c r="F19" s="17" t="inlineStr">
        <is>
          <t>41.0%</t>
        </is>
      </c>
      <c r="G19" s="17" t="n">
        <v>92</v>
      </c>
      <c r="H19" s="17" t="inlineStr">
        <is>
          <t>12.9%</t>
        </is>
      </c>
    </row>
    <row r="20" ht="20" customHeight="1">
      <c r="A20" s="26" t="inlineStr">
        <is>
          <t>Low</t>
        </is>
      </c>
      <c r="B20" s="20" t="n">
        <v>273</v>
      </c>
      <c r="C20" s="20" t="n">
        <v>43</v>
      </c>
      <c r="D20" s="20" t="inlineStr">
        <is>
          <t>15.8%</t>
        </is>
      </c>
      <c r="E20" s="20" t="n">
        <v>184</v>
      </c>
      <c r="F20" s="20" t="inlineStr">
        <is>
          <t>67.4%</t>
        </is>
      </c>
      <c r="G20" s="20" t="n">
        <v>0</v>
      </c>
      <c r="H20" s="20" t="inlineStr">
        <is>
          <t>0.0%</t>
        </is>
      </c>
    </row>
    <row r="21" ht="20" customHeight="1">
      <c r="A21" s="25" t="inlineStr">
        <is>
          <t>Medium</t>
        </is>
      </c>
      <c r="B21" s="17" t="n">
        <v>133</v>
      </c>
      <c r="C21" s="17" t="n">
        <v>9</v>
      </c>
      <c r="D21" s="17" t="inlineStr">
        <is>
          <t>6.8%</t>
        </is>
      </c>
      <c r="E21" s="17" t="n">
        <v>75</v>
      </c>
      <c r="F21" s="17" t="inlineStr">
        <is>
          <t>56.4%</t>
        </is>
      </c>
      <c r="G21" s="17" t="n">
        <v>0</v>
      </c>
      <c r="H21" s="17" t="inlineStr">
        <is>
          <t>0.0%</t>
        </is>
      </c>
    </row>
    <row r="22" ht="20" customHeight="1">
      <c r="A22" s="26" t="inlineStr">
        <is>
          <t>High</t>
        </is>
      </c>
      <c r="B22" s="20" t="n">
        <v>139</v>
      </c>
      <c r="C22" s="20" t="n">
        <v>16</v>
      </c>
      <c r="D22" s="20" t="inlineStr">
        <is>
          <t>11.5%</t>
        </is>
      </c>
      <c r="E22" s="20" t="n">
        <v>85</v>
      </c>
      <c r="F22" s="20" t="inlineStr">
        <is>
          <t>61.2%</t>
        </is>
      </c>
      <c r="G22" s="20" t="n">
        <v>0</v>
      </c>
      <c r="H22" s="20" t="inlineStr">
        <is>
          <t>0.0%</t>
        </is>
      </c>
    </row>
  </sheetData>
  <mergeCells count="11">
    <mergeCell ref="C11:H11"/>
    <mergeCell ref="A3:H3"/>
    <mergeCell ref="C10:H10"/>
    <mergeCell ref="C14:H14"/>
    <mergeCell ref="C13:H13"/>
    <mergeCell ref="A2:H2"/>
    <mergeCell ref="C9:H9"/>
    <mergeCell ref="A1:H1"/>
    <mergeCell ref="C12:H12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4" customWidth="1" min="5" max="5"/>
    <col width="22" customWidth="1" min="6" max="6"/>
  </cols>
  <sheetData>
    <row r="1" ht="36" customHeight="1">
      <c r="A1" s="27" t="inlineStr">
        <is>
          <t>TREATMENT RATE &amp; EMPLOYER SUPPORT BY COUNTRY (Top 15)</t>
        </is>
      </c>
    </row>
    <row r="2" ht="24" customHeight="1">
      <c r="A2" s="28" t="inlineStr">
        <is>
          <t>Country</t>
        </is>
      </c>
      <c r="B2" s="28" t="inlineStr">
        <is>
          <t>Respondents</t>
        </is>
      </c>
      <c r="C2" s="28" t="inlineStr">
        <is>
          <t>Sought Treatment</t>
        </is>
      </c>
      <c r="D2" s="28" t="inlineStr">
        <is>
          <t>Treatment Rate (%)</t>
        </is>
      </c>
      <c r="E2" s="28" t="inlineStr">
        <is>
          <t>High Risk Count</t>
        </is>
      </c>
      <c r="F2" s="28" t="inlineStr">
        <is>
          <t>Avg Support Score (0-3)</t>
        </is>
      </c>
    </row>
    <row r="3" ht="20" customHeight="1">
      <c r="A3" s="18" t="inlineStr">
        <is>
          <t>United States</t>
        </is>
      </c>
      <c r="B3" s="17" t="n">
        <v>751</v>
      </c>
      <c r="C3" s="17" t="n">
        <v>410</v>
      </c>
      <c r="D3" s="17" t="n">
        <v>54.6</v>
      </c>
      <c r="E3" s="17" t="n">
        <v>37</v>
      </c>
      <c r="F3" s="17" t="n">
        <v>1</v>
      </c>
    </row>
    <row r="4" ht="20" customHeight="1">
      <c r="A4" s="21" t="inlineStr">
        <is>
          <t>United Kingdom</t>
        </is>
      </c>
      <c r="B4" s="20" t="n">
        <v>185</v>
      </c>
      <c r="C4" s="20" t="n">
        <v>93</v>
      </c>
      <c r="D4" s="20" t="n">
        <v>50.3</v>
      </c>
      <c r="E4" s="20" t="n">
        <v>14</v>
      </c>
      <c r="F4" s="20" t="n">
        <v>0.35</v>
      </c>
    </row>
    <row r="5" ht="20" customHeight="1">
      <c r="A5" s="18" t="inlineStr">
        <is>
          <t>Canada</t>
        </is>
      </c>
      <c r="B5" s="17" t="n">
        <v>72</v>
      </c>
      <c r="C5" s="17" t="n">
        <v>37</v>
      </c>
      <c r="D5" s="17" t="n">
        <v>51.4</v>
      </c>
      <c r="E5" s="17" t="n">
        <v>8</v>
      </c>
      <c r="F5" s="17" t="n">
        <v>0.71</v>
      </c>
    </row>
    <row r="6" ht="20" customHeight="1">
      <c r="A6" s="21" t="inlineStr">
        <is>
          <t>Germany</t>
        </is>
      </c>
      <c r="B6" s="20" t="n">
        <v>45</v>
      </c>
      <c r="C6" s="20" t="n">
        <v>21</v>
      </c>
      <c r="D6" s="20" t="n">
        <v>46.7</v>
      </c>
      <c r="E6" s="20" t="n">
        <v>6</v>
      </c>
      <c r="F6" s="20" t="n">
        <v>0.29</v>
      </c>
    </row>
    <row r="7" ht="20" customHeight="1">
      <c r="A7" s="18" t="inlineStr">
        <is>
          <t>Ireland</t>
        </is>
      </c>
      <c r="B7" s="17" t="n">
        <v>27</v>
      </c>
      <c r="C7" s="17" t="n">
        <v>12</v>
      </c>
      <c r="D7" s="17" t="n">
        <v>48.1</v>
      </c>
      <c r="E7" s="17" t="n">
        <v>4</v>
      </c>
      <c r="F7" s="17" t="n">
        <v>0.33</v>
      </c>
    </row>
    <row r="8" ht="20" customHeight="1">
      <c r="A8" s="21" t="inlineStr">
        <is>
          <t>Netherlands</t>
        </is>
      </c>
      <c r="B8" s="20" t="n">
        <v>27</v>
      </c>
      <c r="C8" s="20" t="n">
        <v>8</v>
      </c>
      <c r="D8" s="20" t="n">
        <v>33.3</v>
      </c>
      <c r="E8" s="20" t="n">
        <v>5</v>
      </c>
      <c r="F8" s="20" t="n">
        <v>0.37</v>
      </c>
    </row>
    <row r="9" ht="20" customHeight="1">
      <c r="A9" s="18" t="inlineStr">
        <is>
          <t>Australia</t>
        </is>
      </c>
      <c r="B9" s="17" t="n">
        <v>21</v>
      </c>
      <c r="C9" s="17" t="n">
        <v>12</v>
      </c>
      <c r="D9" s="17" t="n">
        <v>61.9</v>
      </c>
      <c r="E9" s="17" t="n">
        <v>1</v>
      </c>
      <c r="F9" s="17" t="n">
        <v>0.95</v>
      </c>
    </row>
    <row r="10" ht="20" customHeight="1">
      <c r="A10" s="21" t="inlineStr">
        <is>
          <t>France</t>
        </is>
      </c>
      <c r="B10" s="20" t="n">
        <v>13</v>
      </c>
      <c r="C10" s="20" t="n">
        <v>2</v>
      </c>
      <c r="D10" s="20" t="n">
        <v>15.4</v>
      </c>
      <c r="E10" s="20" t="n">
        <v>0</v>
      </c>
      <c r="F10" s="20" t="n">
        <v>0.31</v>
      </c>
    </row>
    <row r="11" ht="20" customHeight="1">
      <c r="A11" s="18" t="inlineStr">
        <is>
          <t>India</t>
        </is>
      </c>
      <c r="B11" s="17" t="n">
        <v>10</v>
      </c>
      <c r="C11" s="17" t="n">
        <v>3</v>
      </c>
      <c r="D11" s="17" t="n">
        <v>30</v>
      </c>
      <c r="E11" s="17" t="n">
        <v>2</v>
      </c>
      <c r="F11" s="17" t="n">
        <v>0</v>
      </c>
    </row>
    <row r="12" ht="20" customHeight="1">
      <c r="A12" s="21" t="inlineStr">
        <is>
          <t>New Zealand</t>
        </is>
      </c>
      <c r="B12" s="20" t="n">
        <v>8</v>
      </c>
      <c r="C12" s="20" t="n">
        <v>5</v>
      </c>
      <c r="D12" s="20" t="n">
        <v>62.5</v>
      </c>
      <c r="E12" s="20" t="n">
        <v>0</v>
      </c>
      <c r="F12" s="20" t="n">
        <v>0.62</v>
      </c>
    </row>
    <row r="13" ht="20" customHeight="1">
      <c r="A13" s="18" t="inlineStr">
        <is>
          <t>Italy</t>
        </is>
      </c>
      <c r="B13" s="17" t="n">
        <v>7</v>
      </c>
      <c r="C13" s="17" t="n">
        <v>1</v>
      </c>
      <c r="D13" s="17" t="n">
        <v>14.3</v>
      </c>
      <c r="E13" s="17" t="n">
        <v>2</v>
      </c>
      <c r="F13" s="17" t="n">
        <v>0</v>
      </c>
    </row>
    <row r="14" ht="20" customHeight="1">
      <c r="A14" s="21" t="inlineStr">
        <is>
          <t>Sweden</t>
        </is>
      </c>
      <c r="B14" s="20" t="n">
        <v>7</v>
      </c>
      <c r="C14" s="20" t="n">
        <v>2</v>
      </c>
      <c r="D14" s="20" t="n">
        <v>28.6</v>
      </c>
      <c r="E14" s="20" t="n">
        <v>0</v>
      </c>
      <c r="F14" s="20" t="n">
        <v>0.57</v>
      </c>
    </row>
    <row r="15" ht="20" customHeight="1">
      <c r="A15" s="18" t="inlineStr">
        <is>
          <t>Poland</t>
        </is>
      </c>
      <c r="B15" s="17" t="n">
        <v>7</v>
      </c>
      <c r="C15" s="17" t="n">
        <v>3</v>
      </c>
      <c r="D15" s="17" t="n">
        <v>57.1</v>
      </c>
      <c r="E15" s="17" t="n">
        <v>0</v>
      </c>
      <c r="F15" s="17" t="n">
        <v>0.29</v>
      </c>
    </row>
    <row r="16" ht="20" customHeight="1">
      <c r="A16" s="21" t="inlineStr">
        <is>
          <t>Switzerland</t>
        </is>
      </c>
      <c r="B16" s="20" t="n">
        <v>7</v>
      </c>
      <c r="C16" s="20" t="n">
        <v>3</v>
      </c>
      <c r="D16" s="20" t="n">
        <v>42.9</v>
      </c>
      <c r="E16" s="20" t="n">
        <v>0</v>
      </c>
      <c r="F16" s="20" t="n">
        <v>0.86</v>
      </c>
    </row>
    <row r="17" ht="20" customHeight="1">
      <c r="A17" s="18" t="inlineStr">
        <is>
          <t>Belgium</t>
        </is>
      </c>
      <c r="B17" s="17" t="n">
        <v>6</v>
      </c>
      <c r="C17" s="17" t="n">
        <v>1</v>
      </c>
      <c r="D17" s="17" t="n">
        <v>16.7</v>
      </c>
      <c r="E17" s="17" t="n">
        <v>2</v>
      </c>
      <c r="F17" s="17" t="n">
        <v>0.33</v>
      </c>
    </row>
    <row r="18" ht="22" customHeight="1">
      <c r="A18" s="29" t="inlineStr">
        <is>
          <t>TOTAL / AVG</t>
        </is>
      </c>
      <c r="B18" s="30">
        <f>SUM(B3:B17)</f>
        <v/>
      </c>
      <c r="C18" s="30">
        <f>SUM(C3:C17)</f>
        <v/>
      </c>
      <c r="D18" s="30">
        <f>AVERAGE(D3:D17)</f>
        <v/>
      </c>
      <c r="E18" s="30">
        <f>SUM(E3:E17)</f>
        <v/>
      </c>
      <c r="F18" s="30">
        <f>AVERAGE(F3:F17)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36" customHeight="1">
      <c r="A1" s="27" t="inlineStr">
        <is>
          <t>MONTHLY MIS REPORT — MENTAL HEALTH SURVEY TRENDS</t>
        </is>
      </c>
    </row>
    <row r="2" ht="18" customHeight="1">
      <c r="A2" s="31" t="inlineStr">
        <is>
          <t>Note: Monthly periods simulated from respondent ID sequence for MIS demonstration purposes</t>
        </is>
      </c>
    </row>
    <row r="3" ht="24" customHeight="1">
      <c r="A3" s="32" t="inlineStr">
        <is>
          <t>Month</t>
        </is>
      </c>
      <c r="B3" s="32" t="inlineStr">
        <is>
          <t>New Respondents</t>
        </is>
      </c>
      <c r="C3" s="32" t="inlineStr">
        <is>
          <t>Treatment Rate (%)</t>
        </is>
      </c>
      <c r="D3" s="32" t="inlineStr">
        <is>
          <t>High Risk Count</t>
        </is>
      </c>
      <c r="E3" s="32" t="inlineStr">
        <is>
          <t>Avg Support Score</t>
        </is>
      </c>
      <c r="F3" s="32" t="inlineStr">
        <is>
          <t>Cumulative Respondents</t>
        </is>
      </c>
      <c r="G3" s="32" t="inlineStr">
        <is>
          <t>MoM Change (%)</t>
        </is>
      </c>
    </row>
    <row r="4" ht="22" customHeight="1">
      <c r="A4" s="17" t="inlineStr">
        <is>
          <t>Jan</t>
        </is>
      </c>
      <c r="B4" s="17" t="n">
        <v>210</v>
      </c>
      <c r="C4" s="17" t="n">
        <v>42.9</v>
      </c>
      <c r="D4" s="17" t="n">
        <v>14</v>
      </c>
      <c r="E4" s="17" t="n">
        <v>0.62</v>
      </c>
      <c r="F4" s="17" t="n">
        <v>210</v>
      </c>
      <c r="G4" s="17" t="inlineStr"/>
    </row>
    <row r="5" ht="22" customHeight="1">
      <c r="A5" s="20" t="inlineStr">
        <is>
          <t>Feb</t>
        </is>
      </c>
      <c r="B5" s="20" t="n">
        <v>210</v>
      </c>
      <c r="C5" s="20" t="n">
        <v>54.8</v>
      </c>
      <c r="D5" s="20" t="n">
        <v>15</v>
      </c>
      <c r="E5" s="20" t="n">
        <v>0.84</v>
      </c>
      <c r="F5" s="20" t="n">
        <v>420</v>
      </c>
      <c r="G5" s="20">
        <f>((B5-B4)/B4)*100</f>
        <v/>
      </c>
    </row>
    <row r="6" ht="22" customHeight="1">
      <c r="A6" s="17" t="inlineStr">
        <is>
          <t>Mar</t>
        </is>
      </c>
      <c r="B6" s="17" t="n">
        <v>210</v>
      </c>
      <c r="C6" s="17" t="n">
        <v>51</v>
      </c>
      <c r="D6" s="17" t="n">
        <v>19</v>
      </c>
      <c r="E6" s="17" t="n">
        <v>0.8100000000000001</v>
      </c>
      <c r="F6" s="17" t="n">
        <v>630</v>
      </c>
      <c r="G6" s="17">
        <f>((B6-B5)/B5)*100</f>
        <v/>
      </c>
    </row>
    <row r="7" ht="22" customHeight="1">
      <c r="A7" s="20" t="inlineStr">
        <is>
          <t>Apr</t>
        </is>
      </c>
      <c r="B7" s="20" t="n">
        <v>209</v>
      </c>
      <c r="C7" s="20" t="n">
        <v>47.4</v>
      </c>
      <c r="D7" s="20" t="n">
        <v>12</v>
      </c>
      <c r="E7" s="20" t="n">
        <v>0.66</v>
      </c>
      <c r="F7" s="20" t="n">
        <v>839</v>
      </c>
      <c r="G7" s="20">
        <f>((B7-B6)/B6)*100</f>
        <v/>
      </c>
    </row>
    <row r="8" ht="22" customHeight="1">
      <c r="A8" s="17" t="inlineStr">
        <is>
          <t>May</t>
        </is>
      </c>
      <c r="B8" s="17" t="n">
        <v>210</v>
      </c>
      <c r="C8" s="17" t="n">
        <v>48.6</v>
      </c>
      <c r="D8" s="17" t="n">
        <v>18</v>
      </c>
      <c r="E8" s="17" t="n">
        <v>0.88</v>
      </c>
      <c r="F8" s="17" t="n">
        <v>1049</v>
      </c>
      <c r="G8" s="17">
        <f>((B8-B7)/B7)*100</f>
        <v/>
      </c>
    </row>
    <row r="9" ht="22" customHeight="1">
      <c r="A9" s="20" t="inlineStr">
        <is>
          <t>Jun</t>
        </is>
      </c>
      <c r="B9" s="20" t="n">
        <v>210</v>
      </c>
      <c r="C9" s="20" t="n">
        <v>59</v>
      </c>
      <c r="D9" s="20" t="n">
        <v>14</v>
      </c>
      <c r="E9" s="20" t="n">
        <v>0.74</v>
      </c>
      <c r="F9" s="20" t="n">
        <v>1259</v>
      </c>
      <c r="G9" s="20">
        <f>((B9-B8)/B8)*100</f>
        <v/>
      </c>
    </row>
    <row r="10" ht="22" customHeight="1">
      <c r="A10" s="33" t="inlineStr">
        <is>
          <t>TOTAL / AVG</t>
        </is>
      </c>
      <c r="B10" s="30">
        <f>SUM(B4:B9)</f>
        <v/>
      </c>
      <c r="C10" s="30">
        <f>AVERAGE(C4:C9)</f>
        <v/>
      </c>
      <c r="D10" s="30">
        <f>SUM(D4:D9)</f>
        <v/>
      </c>
      <c r="E10" s="30">
        <f>AVERAGE(E4:E9)</f>
        <v/>
      </c>
      <c r="F10" s="30">
        <f>MAX(F4:F9)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2026-04-04T10:20:07Z</dcterms:created>
  <dcterms:modified xmlns:dcterms="http://purl.org/dc/terms/" xmlns:xsi="http://www.w3.org/2001/XMLSchema-instance" xsi:type="dcterms:W3CDTF">2026-04-04T10:20:07Z</dcterms:modified>
</cp:coreProperties>
</file>